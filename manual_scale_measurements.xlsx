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ale_checks" sheetId="1" r:id="rId5"/>
  </sheets>
  <definedNames>
    <definedName hidden="1" localSheetId="0" name="_xlnm._FilterDatabase">scale_checks!$A$1:$N$15</definedName>
  </definedNames>
  <calcPr/>
</workbook>
</file>

<file path=xl/sharedStrings.xml><?xml version="1.0" encoding="utf-8"?>
<sst xmlns="http://schemas.openxmlformats.org/spreadsheetml/2006/main" count="28" uniqueCount="28">
  <si>
    <t>name</t>
  </si>
  <si>
    <t>dim1_ft</t>
  </si>
  <si>
    <t>dim1_px</t>
  </si>
  <si>
    <t>dim1_scale</t>
  </si>
  <si>
    <t>dim2_ft</t>
  </si>
  <si>
    <t>dim2_px</t>
  </si>
  <si>
    <t>dim2_scale</t>
  </si>
  <si>
    <t>dim3_ft</t>
  </si>
  <si>
    <t>dim3_px</t>
  </si>
  <si>
    <t>dim3_scale</t>
  </si>
  <si>
    <t>dim4_ft</t>
  </si>
  <si>
    <t>dim4_px</t>
  </si>
  <si>
    <t>dim4_scale</t>
  </si>
  <si>
    <t>median_scale</t>
  </si>
  <si>
    <t>01_200_East_23rd_Street_19A</t>
  </si>
  <si>
    <t>04_320_East_23rd_Street_3K</t>
  </si>
  <si>
    <t>05_320_East_23rd_Street_4H</t>
  </si>
  <si>
    <t>09_1_Irving_Place_G9B</t>
  </si>
  <si>
    <t>10_290_3rd_Avenue_29E</t>
  </si>
  <si>
    <t>20_157_East_18th_Street_6A</t>
  </si>
  <si>
    <t>22_350_East_18th_Street_5E</t>
  </si>
  <si>
    <t>23_301_East_22nd_Street_8U</t>
  </si>
  <si>
    <t>24_346_East_20th_Street_9</t>
  </si>
  <si>
    <t>28_290_3rd_Avenue_17A</t>
  </si>
  <si>
    <t>30_157_East_18th_Street_1G</t>
  </si>
  <si>
    <t>36_225_East_19th_Street_605</t>
  </si>
  <si>
    <t>39_200_East_23rd_Street_8D</t>
  </si>
  <si>
    <t>40_290_3rd_Avenue_23D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</si>
</sst>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2" numFmtId="2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9.0"/>
    <col customWidth="1" min="3" max="3" width="9.63"/>
    <col customWidth="1" min="4" max="4" width="11.75"/>
    <col customWidth="1" min="5" max="5" width="9.0"/>
    <col customWidth="1" min="6" max="6" width="9.63"/>
    <col customWidth="1" min="7" max="7" width="11.75"/>
    <col customWidth="1" min="8" max="8" width="9.0"/>
    <col customWidth="1" min="9" max="9" width="9.63"/>
    <col customWidth="1" min="10" max="10" width="11.75"/>
    <col customWidth="1" min="11" max="11" width="9.0"/>
    <col customWidth="1" min="12" max="12" width="9.63"/>
    <col customWidth="1" min="13" max="13" width="11.75"/>
    <col customWidth="1" min="14" max="14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f>11 + 10 / 12</f>
        <v>11.83333333</v>
      </c>
      <c r="C2" s="4">
        <v>157.0</v>
      </c>
      <c r="D2" s="5">
        <f t="shared" ref="D2:D15" si="1">IF(OR(B2="",C2=""),"",10/(C2/B2))</f>
        <v>0.7537154989</v>
      </c>
      <c r="E2" s="3">
        <f>9 + 10/12</f>
        <v>9.833333333</v>
      </c>
      <c r="F2" s="4">
        <v>130.0</v>
      </c>
      <c r="G2" s="5">
        <f t="shared" ref="G2:G15" si="2">IF(OR(E2="",F2=""),"",10/(F2/E2))</f>
        <v>0.7564102564</v>
      </c>
      <c r="H2" s="3">
        <f>11 + 10 / 12</f>
        <v>11.83333333</v>
      </c>
      <c r="I2" s="4">
        <v>159.0</v>
      </c>
      <c r="J2" s="5">
        <f t="shared" ref="J2:J15" si="3">IF(OR(H2="",I2=""),"",10/(I2/H2))</f>
        <v>0.7442348008</v>
      </c>
      <c r="K2" s="4">
        <v>10.0</v>
      </c>
      <c r="L2" s="4">
        <v>129.0</v>
      </c>
      <c r="M2" s="5">
        <f t="shared" ref="M2:M15" si="4">IF(OR(K2="",L2=""),"",10/(L2/K2))</f>
        <v>0.7751937984</v>
      </c>
      <c r="N2" s="5">
        <f t="shared" ref="N2:N15" si="5">IFERROR(MEDIAN(D2,G2,J2,M2),"")</f>
        <v>0.7550628777</v>
      </c>
    </row>
    <row r="3">
      <c r="A3" s="2" t="s">
        <v>15</v>
      </c>
      <c r="B3" s="4">
        <v>20.0</v>
      </c>
      <c r="C3" s="4">
        <v>459.0</v>
      </c>
      <c r="D3" s="5">
        <f t="shared" si="1"/>
        <v>0.4357298475</v>
      </c>
      <c r="E3" s="4">
        <v>12.0</v>
      </c>
      <c r="F3" s="4">
        <v>276.0</v>
      </c>
      <c r="G3" s="5">
        <f t="shared" si="2"/>
        <v>0.4347826087</v>
      </c>
      <c r="H3" s="3">
        <f>8 + 6/12</f>
        <v>8.5</v>
      </c>
      <c r="I3" s="4">
        <v>195.0</v>
      </c>
      <c r="J3" s="5">
        <f t="shared" si="3"/>
        <v>0.4358974359</v>
      </c>
      <c r="K3" s="3">
        <f>5 + 5/12</f>
        <v>5.416666667</v>
      </c>
      <c r="L3" s="4">
        <v>125.0</v>
      </c>
      <c r="M3" s="5">
        <f t="shared" si="4"/>
        <v>0.4333333333</v>
      </c>
      <c r="N3" s="5">
        <f t="shared" si="5"/>
        <v>0.4352562281</v>
      </c>
    </row>
    <row r="4">
      <c r="A4" s="2" t="s">
        <v>16</v>
      </c>
      <c r="B4" s="4">
        <v>20.0</v>
      </c>
      <c r="C4" s="4">
        <v>410.0</v>
      </c>
      <c r="D4" s="5">
        <f t="shared" si="1"/>
        <v>0.487804878</v>
      </c>
      <c r="E4" s="4">
        <v>12.0</v>
      </c>
      <c r="F4" s="4">
        <v>246.0</v>
      </c>
      <c r="G4" s="5">
        <f t="shared" si="2"/>
        <v>0.487804878</v>
      </c>
      <c r="H4" s="4">
        <v>16.0</v>
      </c>
      <c r="I4" s="4">
        <v>329.0</v>
      </c>
      <c r="J4" s="5">
        <f t="shared" si="3"/>
        <v>0.4863221884</v>
      </c>
      <c r="K4" s="4">
        <f>11 + 1/12</f>
        <v>11.08333333</v>
      </c>
      <c r="L4" s="4">
        <v>228.0</v>
      </c>
      <c r="M4" s="5">
        <f t="shared" si="4"/>
        <v>0.4861111111</v>
      </c>
      <c r="N4" s="5">
        <f t="shared" si="5"/>
        <v>0.4870635332</v>
      </c>
    </row>
    <row r="5">
      <c r="A5" s="2" t="s">
        <v>17</v>
      </c>
      <c r="B5" s="3">
        <f>19 + 4 / 12</f>
        <v>19.33333333</v>
      </c>
      <c r="C5" s="4">
        <v>347.0</v>
      </c>
      <c r="D5" s="5">
        <f t="shared" si="1"/>
        <v>0.5571565802</v>
      </c>
      <c r="E5" s="3">
        <f>11 + 2/12</f>
        <v>11.16666667</v>
      </c>
      <c r="F5" s="4">
        <v>210.0</v>
      </c>
      <c r="G5" s="5">
        <f t="shared" si="2"/>
        <v>0.5317460317</v>
      </c>
      <c r="H5" s="3">
        <f>6 + 1/12</f>
        <v>6.083333333</v>
      </c>
      <c r="I5" s="4">
        <v>120.0</v>
      </c>
      <c r="J5" s="5">
        <f t="shared" si="3"/>
        <v>0.5069444444</v>
      </c>
      <c r="K5" s="3">
        <f>12 + 6/12</f>
        <v>12.5</v>
      </c>
      <c r="L5" s="4">
        <v>230.0</v>
      </c>
      <c r="M5" s="5">
        <f t="shared" si="4"/>
        <v>0.5434782609</v>
      </c>
      <c r="N5" s="5">
        <f t="shared" si="5"/>
        <v>0.5376121463</v>
      </c>
    </row>
    <row r="6">
      <c r="A6" s="2" t="s">
        <v>18</v>
      </c>
      <c r="B6" s="3">
        <f>10 + 9/12</f>
        <v>10.75</v>
      </c>
      <c r="C6" s="4">
        <v>187.0</v>
      </c>
      <c r="D6" s="5">
        <f t="shared" si="1"/>
        <v>0.5748663102</v>
      </c>
      <c r="E6" s="3">
        <f>13 + 11/12</f>
        <v>13.91666667</v>
      </c>
      <c r="F6" s="4">
        <v>251.0</v>
      </c>
      <c r="G6" s="5">
        <f t="shared" si="2"/>
        <v>0.5544488712</v>
      </c>
      <c r="H6" s="3">
        <f>11 + 5/12</f>
        <v>11.41666667</v>
      </c>
      <c r="I6" s="4">
        <v>203.0</v>
      </c>
      <c r="J6" s="5">
        <f t="shared" si="3"/>
        <v>0.5623973727</v>
      </c>
      <c r="K6" s="3">
        <f>19 + 5/12</f>
        <v>19.41666667</v>
      </c>
      <c r="L6" s="4">
        <v>353.0</v>
      </c>
      <c r="M6" s="5">
        <f t="shared" si="4"/>
        <v>0.5500472144</v>
      </c>
      <c r="N6" s="5">
        <f t="shared" si="5"/>
        <v>0.558423122</v>
      </c>
    </row>
    <row r="7">
      <c r="A7" s="2" t="s">
        <v>19</v>
      </c>
      <c r="B7" s="4">
        <v>12.0</v>
      </c>
      <c r="C7" s="4">
        <v>195.0</v>
      </c>
      <c r="D7" s="5">
        <f t="shared" si="1"/>
        <v>0.6153846154</v>
      </c>
      <c r="E7" s="4">
        <v>20.0</v>
      </c>
      <c r="F7" s="4">
        <v>336.0</v>
      </c>
      <c r="G7" s="5">
        <f t="shared" si="2"/>
        <v>0.5952380952</v>
      </c>
      <c r="H7" s="3">
        <f>8 + 2/12</f>
        <v>8.166666667</v>
      </c>
      <c r="I7" s="4">
        <v>133.0</v>
      </c>
      <c r="J7" s="5">
        <f t="shared" si="3"/>
        <v>0.6140350877</v>
      </c>
      <c r="K7" s="3">
        <f>14 + 6/12</f>
        <v>14.5</v>
      </c>
      <c r="L7" s="4">
        <v>244.0</v>
      </c>
      <c r="M7" s="5">
        <f t="shared" si="4"/>
        <v>0.5942622951</v>
      </c>
      <c r="N7" s="5">
        <f t="shared" si="5"/>
        <v>0.6046365915</v>
      </c>
    </row>
    <row r="8">
      <c r="A8" s="2" t="s">
        <v>20</v>
      </c>
      <c r="B8" s="3">
        <f>11 + 1/12</f>
        <v>11.08333333</v>
      </c>
      <c r="C8" s="4">
        <v>279.0</v>
      </c>
      <c r="D8" s="5">
        <f t="shared" si="1"/>
        <v>0.3972520908</v>
      </c>
      <c r="E8" s="3">
        <f>13 + 4/12</f>
        <v>13.33333333</v>
      </c>
      <c r="F8" s="4">
        <v>348.0</v>
      </c>
      <c r="G8" s="5">
        <f t="shared" si="2"/>
        <v>0.3831417625</v>
      </c>
      <c r="H8" s="3">
        <f>11 + 6/12</f>
        <v>11.5</v>
      </c>
      <c r="I8" s="4">
        <v>314.0</v>
      </c>
      <c r="J8" s="5">
        <f t="shared" si="3"/>
        <v>0.3662420382</v>
      </c>
      <c r="K8" s="4">
        <v>18.0</v>
      </c>
      <c r="L8" s="4">
        <v>470.0</v>
      </c>
      <c r="M8" s="5">
        <f t="shared" si="4"/>
        <v>0.3829787234</v>
      </c>
      <c r="N8" s="5">
        <f t="shared" si="5"/>
        <v>0.3830602429</v>
      </c>
    </row>
    <row r="9">
      <c r="A9" s="2" t="s">
        <v>21</v>
      </c>
      <c r="B9" s="3">
        <f>11 + 10 / 12</f>
        <v>11.83333333</v>
      </c>
      <c r="C9" s="4">
        <v>291.0</v>
      </c>
      <c r="D9" s="5">
        <f t="shared" si="1"/>
        <v>0.4066437572</v>
      </c>
      <c r="E9" s="3">
        <f>9 + 10/12</f>
        <v>9.833333333</v>
      </c>
      <c r="F9" s="4">
        <v>247.0</v>
      </c>
      <c r="G9" s="5">
        <f t="shared" si="2"/>
        <v>0.3981106613</v>
      </c>
      <c r="H9" s="4">
        <v>28.0</v>
      </c>
      <c r="I9" s="4">
        <v>697.0</v>
      </c>
      <c r="J9" s="5">
        <f t="shared" si="3"/>
        <v>0.4017216643</v>
      </c>
      <c r="K9" s="4"/>
      <c r="L9" s="4"/>
      <c r="M9" s="5" t="str">
        <f t="shared" si="4"/>
        <v/>
      </c>
      <c r="N9" s="5">
        <f t="shared" si="5"/>
        <v>0.4017216643</v>
      </c>
    </row>
    <row r="10">
      <c r="A10" s="2" t="s">
        <v>22</v>
      </c>
      <c r="B10" s="4">
        <v>10.0</v>
      </c>
      <c r="C10" s="4">
        <v>224.0</v>
      </c>
      <c r="D10" s="5">
        <f t="shared" si="1"/>
        <v>0.4464285714</v>
      </c>
      <c r="E10" s="3">
        <f>11 + 9/12</f>
        <v>11.75</v>
      </c>
      <c r="F10" s="4">
        <v>259.0</v>
      </c>
      <c r="G10" s="5">
        <f t="shared" si="2"/>
        <v>0.4536679537</v>
      </c>
      <c r="H10" s="3">
        <f>6 + 6/12</f>
        <v>6.5</v>
      </c>
      <c r="I10" s="4">
        <v>143.0</v>
      </c>
      <c r="J10" s="5">
        <f t="shared" si="3"/>
        <v>0.4545454545</v>
      </c>
      <c r="K10" s="3">
        <f>10 + 2/12</f>
        <v>10.16666667</v>
      </c>
      <c r="L10" s="4">
        <v>226.0</v>
      </c>
      <c r="M10" s="5">
        <f t="shared" si="4"/>
        <v>0.4498525074</v>
      </c>
      <c r="N10" s="5">
        <f t="shared" si="5"/>
        <v>0.4517602305</v>
      </c>
    </row>
    <row r="11">
      <c r="A11" s="2" t="s">
        <v>23</v>
      </c>
      <c r="B11" s="4">
        <v>12.0</v>
      </c>
      <c r="C11" s="4">
        <v>215.0</v>
      </c>
      <c r="D11" s="5">
        <f t="shared" si="1"/>
        <v>0.5581395349</v>
      </c>
      <c r="E11" s="3">
        <f>11 + 7/12</f>
        <v>11.58333333</v>
      </c>
      <c r="F11" s="4">
        <v>207.0</v>
      </c>
      <c r="G11" s="5">
        <f t="shared" si="2"/>
        <v>0.5595813205</v>
      </c>
      <c r="H11" s="4">
        <v>14.0</v>
      </c>
      <c r="I11" s="4">
        <v>223.0</v>
      </c>
      <c r="J11" s="5">
        <f t="shared" si="3"/>
        <v>0.6278026906</v>
      </c>
      <c r="K11" s="4">
        <v>5.0</v>
      </c>
      <c r="L11" s="4">
        <v>91.0</v>
      </c>
      <c r="M11" s="5">
        <f t="shared" si="4"/>
        <v>0.5494505495</v>
      </c>
      <c r="N11" s="5">
        <f t="shared" si="5"/>
        <v>0.5588604277</v>
      </c>
    </row>
    <row r="12">
      <c r="A12" s="2" t="s">
        <v>24</v>
      </c>
      <c r="B12" s="3">
        <f>7 + 6/12</f>
        <v>7.5</v>
      </c>
      <c r="C12" s="4">
        <v>172.0</v>
      </c>
      <c r="D12" s="5">
        <f t="shared" si="1"/>
        <v>0.4360465116</v>
      </c>
      <c r="E12" s="4">
        <v>9.0</v>
      </c>
      <c r="F12" s="4">
        <v>218.0</v>
      </c>
      <c r="G12" s="5">
        <f t="shared" si="2"/>
        <v>0.4128440367</v>
      </c>
      <c r="H12" s="4">
        <v>14.0</v>
      </c>
      <c r="I12" s="4">
        <v>334.0</v>
      </c>
      <c r="J12" s="5">
        <f t="shared" si="3"/>
        <v>0.4191616766</v>
      </c>
      <c r="K12" s="4">
        <v>18.0</v>
      </c>
      <c r="L12" s="4">
        <v>432.0</v>
      </c>
      <c r="M12" s="5">
        <f t="shared" si="4"/>
        <v>0.4166666667</v>
      </c>
      <c r="N12" s="5">
        <f t="shared" si="5"/>
        <v>0.4179141717</v>
      </c>
    </row>
    <row r="13">
      <c r="A13" s="2" t="s">
        <v>25</v>
      </c>
      <c r="B13" s="4">
        <v>12.0</v>
      </c>
      <c r="C13" s="4">
        <v>280.0</v>
      </c>
      <c r="D13" s="5">
        <f t="shared" si="1"/>
        <v>0.4285714286</v>
      </c>
      <c r="E13" s="3">
        <f>13 + 2/12</f>
        <v>13.16666667</v>
      </c>
      <c r="F13" s="4">
        <v>315.0</v>
      </c>
      <c r="G13" s="5">
        <f t="shared" si="2"/>
        <v>0.417989418</v>
      </c>
      <c r="H13" s="3">
        <f>11 + 6/12</f>
        <v>11.5</v>
      </c>
      <c r="I13" s="4">
        <v>281.0</v>
      </c>
      <c r="J13" s="5">
        <f t="shared" si="3"/>
        <v>0.409252669</v>
      </c>
      <c r="K13" s="3">
        <f>8 + 4/12</f>
        <v>8.333333333</v>
      </c>
      <c r="L13" s="4">
        <v>196.0</v>
      </c>
      <c r="M13" s="5">
        <f t="shared" si="4"/>
        <v>0.425170068</v>
      </c>
      <c r="N13" s="5">
        <f t="shared" si="5"/>
        <v>0.421579743</v>
      </c>
    </row>
    <row r="14">
      <c r="A14" s="2" t="s">
        <v>26</v>
      </c>
      <c r="B14" s="4">
        <f>12 + 10/12</f>
        <v>12.83333333</v>
      </c>
      <c r="C14" s="4">
        <v>294.0</v>
      </c>
      <c r="D14" s="5">
        <f t="shared" si="1"/>
        <v>0.4365079365</v>
      </c>
      <c r="E14" s="3">
        <f>12+3/12</f>
        <v>12.25</v>
      </c>
      <c r="F14" s="4">
        <v>288.0</v>
      </c>
      <c r="G14" s="5">
        <f t="shared" si="2"/>
        <v>0.4253472222</v>
      </c>
      <c r="H14" s="3"/>
      <c r="I14" s="4"/>
      <c r="J14" s="5" t="str">
        <f t="shared" si="3"/>
        <v/>
      </c>
      <c r="K14" s="3"/>
      <c r="L14" s="4"/>
      <c r="M14" s="5" t="str">
        <f t="shared" si="4"/>
        <v/>
      </c>
      <c r="N14" s="5">
        <f t="shared" si="5"/>
        <v>0.4309275794</v>
      </c>
    </row>
    <row r="15">
      <c r="A15" s="2" t="s">
        <v>27</v>
      </c>
      <c r="B15" s="4">
        <v>12.0</v>
      </c>
      <c r="C15" s="4">
        <v>244.0</v>
      </c>
      <c r="D15" s="5">
        <f t="shared" si="1"/>
        <v>0.4918032787</v>
      </c>
      <c r="E15" s="3">
        <f>13 + 8/12</f>
        <v>13.66666667</v>
      </c>
      <c r="F15" s="4">
        <v>295.0</v>
      </c>
      <c r="G15" s="5">
        <f t="shared" si="2"/>
        <v>0.4632768362</v>
      </c>
      <c r="H15" s="3">
        <f>16 + 2/12</f>
        <v>16.16666667</v>
      </c>
      <c r="I15" s="4">
        <v>310.0</v>
      </c>
      <c r="J15" s="5">
        <f t="shared" si="3"/>
        <v>0.5215053763</v>
      </c>
      <c r="K15" s="3">
        <f>13 + 2/12</f>
        <v>13.16666667</v>
      </c>
      <c r="L15" s="4">
        <v>294.0</v>
      </c>
      <c r="M15" s="5">
        <f t="shared" si="4"/>
        <v>0.447845805</v>
      </c>
      <c r="N15" s="5">
        <f t="shared" si="5"/>
        <v>0.4775400574</v>
      </c>
    </row>
  </sheetData>
  <autoFilter ref="$A$1:$N$15"/>
  <drawing r:id="rId1"/>
</worksheet>
</file>